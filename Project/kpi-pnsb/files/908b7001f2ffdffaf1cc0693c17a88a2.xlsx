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yahmisadan/Library/CloudStorage/GoogleDrive-revenuediscovery@gmail.com/My Drive/Revenue Discovery/11. Project/78. PNSB PMS/"/>
    </mc:Choice>
  </mc:AlternateContent>
  <xr:revisionPtr revIDLastSave="0" documentId="13_ncr:1_{3CEA1944-9CEE-4249-B9BE-6A2CE616596E}" xr6:coauthVersionLast="47" xr6:coauthVersionMax="47" xr10:uidLastSave="{00000000-0000-0000-0000-000000000000}"/>
  <bookViews>
    <workbookView xWindow="-100" yWindow="780" windowWidth="23260" windowHeight="12460" tabRatio="531" activeTab="2" xr2:uid="{9C2B4AB1-325B-43DB-A33A-C8ED6AA4A4EC}"/>
  </bookViews>
  <sheets>
    <sheet name="KPI1" sheetId="11" r:id="rId1"/>
    <sheet name="Proses PMS" sheetId="15" r:id="rId2"/>
    <sheet name="Sheet1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1" l="1"/>
  <c r="N31" i="11" l="1"/>
  <c r="M19" i="11" l="1"/>
  <c r="M15" i="11"/>
  <c r="M16" i="11"/>
  <c r="M17" i="11"/>
  <c r="M18" i="11"/>
  <c r="M21" i="11" l="1"/>
  <c r="M25" i="11" l="1"/>
  <c r="M24" i="11"/>
  <c r="F24" i="11"/>
  <c r="M23" i="11"/>
  <c r="M22" i="11"/>
  <c r="M20" i="11"/>
  <c r="F20" i="11"/>
  <c r="M14" i="11"/>
  <c r="M13" i="11"/>
  <c r="M12" i="11"/>
  <c r="F12" i="11"/>
  <c r="M27" i="11" l="1"/>
  <c r="M30" i="11" s="1"/>
  <c r="N30" i="11" s="1"/>
  <c r="N32" i="11" s="1"/>
  <c r="F27" i="11"/>
</calcChain>
</file>

<file path=xl/sharedStrings.xml><?xml version="1.0" encoding="utf-8"?>
<sst xmlns="http://schemas.openxmlformats.org/spreadsheetml/2006/main" count="141" uniqueCount="127">
  <si>
    <t xml:space="preserve">PERMODALAN NEGERI SELANGOR BERHAD </t>
  </si>
  <si>
    <t>PENCAPAIAN AKHIR TAHUN</t>
  </si>
  <si>
    <t>BUTIR-BUTIR KAKITANGAN :</t>
  </si>
  <si>
    <t>Untuk Kegunaan Sumber Manusia</t>
  </si>
  <si>
    <t>Nama</t>
  </si>
  <si>
    <t>Diterima Oleh :</t>
  </si>
  <si>
    <t>Jawatan</t>
  </si>
  <si>
    <t>Kategori</t>
  </si>
  <si>
    <t>Tarikh Terima :</t>
  </si>
  <si>
    <t>No</t>
  </si>
  <si>
    <t>Kad Skor Imbangan (BSC)</t>
  </si>
  <si>
    <t>Objektif Strategik</t>
  </si>
  <si>
    <t>Petunjuk Prestasi Utama (KPI)</t>
  </si>
  <si>
    <t>Jumlah Kecil Pemberat</t>
  </si>
  <si>
    <t>Jumlah Besar Pemberat</t>
  </si>
  <si>
    <t>Unit</t>
  </si>
  <si>
    <t>KPIs Standard</t>
  </si>
  <si>
    <t>Pencapaian Akhir Tahun</t>
  </si>
  <si>
    <t>Catatan</t>
  </si>
  <si>
    <t>Pencapaian Sebenar</t>
  </si>
  <si>
    <t>Skor</t>
  </si>
  <si>
    <t>KEWANGAN (FINANCIAL) - 40%</t>
  </si>
  <si>
    <t>Meningkatkan Pertumbuhan Syarikat</t>
  </si>
  <si>
    <t>Pendapatan 
(tidak termasuk jualan antara syarikat)</t>
  </si>
  <si>
    <t>RM</t>
  </si>
  <si>
    <t>RM (MIL)</t>
  </si>
  <si>
    <t>Keuntungan sebelum cukai</t>
  </si>
  <si>
    <t>PELANGGAN 
(CUSTOMER) - 30%</t>
  </si>
  <si>
    <t>Tarikh</t>
  </si>
  <si>
    <t>Kelulusan ALP</t>
  </si>
  <si>
    <t>ALP Bil.3</t>
  </si>
  <si>
    <t>ALP Bil.2</t>
  </si>
  <si>
    <t>ALP Bil.1</t>
  </si>
  <si>
    <t>Jun</t>
  </si>
  <si>
    <t>Mei</t>
  </si>
  <si>
    <t>Oktober</t>
  </si>
  <si>
    <t>Kelulusan GMHRA/KPE</t>
  </si>
  <si>
    <t>jun</t>
  </si>
  <si>
    <t>PEMBELAJARAN &amp; PENINGKATAN (LEARNING &amp; GROWTH) - 10%</t>
  </si>
  <si>
    <t>Pengurusan Risiko</t>
  </si>
  <si>
    <t>Bil</t>
  </si>
  <si>
    <t>Risk Register</t>
  </si>
  <si>
    <t>April</t>
  </si>
  <si>
    <t>Mac</t>
  </si>
  <si>
    <t>Feb</t>
  </si>
  <si>
    <t xml:space="preserve">DISEDIAKAN OLEH (KAKITANGAN) : </t>
  </si>
  <si>
    <t xml:space="preserve">DIPERSETUJUI OLEH (PENYELIA) : </t>
  </si>
  <si>
    <t>Bahagian</t>
  </si>
  <si>
    <t>TANDATANGAN :</t>
  </si>
  <si>
    <t>A</t>
  </si>
  <si>
    <t>TARIKH:</t>
  </si>
  <si>
    <t>NAMA :</t>
  </si>
  <si>
    <t>B</t>
  </si>
  <si>
    <t>JAWATAN :</t>
  </si>
  <si>
    <t>Jumlah</t>
  </si>
  <si>
    <t>PERANCANGAN PRESTASI
2025</t>
  </si>
  <si>
    <t>Pengukuran</t>
  </si>
  <si>
    <t>Kelulusan KPE</t>
  </si>
  <si>
    <t>PROSES DALAMAN (INTERNAL BUSINESS PROCESS) - 20%</t>
  </si>
  <si>
    <t>Pemulangan Pelaburan EDMS</t>
  </si>
  <si>
    <t xml:space="preserve">Kecekapan Penggunaan EDMS  </t>
  </si>
  <si>
    <t>Bil dokumen dimuat naik</t>
  </si>
  <si>
    <t>%</t>
  </si>
  <si>
    <t>Ambangan (kurangan) 
Threshold</t>
  </si>
  <si>
    <t xml:space="preserve">Setuju
Meet Target </t>
  </si>
  <si>
    <t>Lebihan
Stretched</t>
  </si>
  <si>
    <t>Pematuhan OSHA</t>
  </si>
  <si>
    <t>Dasar Keselamatan &amp; Kesihatan PNSB</t>
  </si>
  <si>
    <t>CR (Mac 2025)</t>
  </si>
  <si>
    <t>Memperkenalkan garis panduan keselamatan persekitaran tempat kerja yang selamat</t>
  </si>
  <si>
    <t>Garis Panduan Pelawat</t>
  </si>
  <si>
    <t>Mewujudkan jawatankuasa keselamatan &amp; kesihatan pekerjaan (OSH Committee)</t>
  </si>
  <si>
    <t>Lantikan Jawatankuasa Mac 2025</t>
  </si>
  <si>
    <t>Aktiviti / kesedaran keselamatan</t>
  </si>
  <si>
    <t>Bil Aktiviti</t>
  </si>
  <si>
    <t>5 Poster, 1 Notis, Health Day</t>
  </si>
  <si>
    <t>Persekitaran Kerja yang selesa</t>
  </si>
  <si>
    <t>Penyusunan semula sistem fail di BBST 
(pilot HRA)</t>
  </si>
  <si>
    <t>Penyelesaian</t>
  </si>
  <si>
    <t>mei</t>
  </si>
  <si>
    <t>april</t>
  </si>
  <si>
    <t>Jun 2026 (Intan Update)</t>
  </si>
  <si>
    <t>Governan</t>
  </si>
  <si>
    <t xml:space="preserve">Menyemak dan memperkenalkan SOP  </t>
  </si>
  <si>
    <t>SOP</t>
  </si>
  <si>
    <t>Nov 2025 (4 New SOP)</t>
  </si>
  <si>
    <t>Kecekapan sistem pentadbiran</t>
  </si>
  <si>
    <t xml:space="preserve">Merombak tidak kurang drp 30 borang2 BSMP </t>
  </si>
  <si>
    <t>Muat Naik E-Portal</t>
  </si>
  <si>
    <t>Penambahan / kemahiran semula pemandu</t>
  </si>
  <si>
    <t>kemahiran baru</t>
  </si>
  <si>
    <t>Tabung Pendidikan - Penambahan Dana dan dash board</t>
  </si>
  <si>
    <t>Kelulusan KPE/GMHRA</t>
  </si>
  <si>
    <t>September</t>
  </si>
  <si>
    <t xml:space="preserve">Ogos </t>
  </si>
  <si>
    <t>Dana 500k pada 21 Mei 2025</t>
  </si>
  <si>
    <t xml:space="preserve">Pentaksiran Risiko di Pejabat 
(Hazard Kemalangan) </t>
  </si>
  <si>
    <t>Risk Identification and control  min 30 (Ketua)</t>
  </si>
  <si>
    <t xml:space="preserve"> Risiko dan kawalan</t>
  </si>
  <si>
    <t>Risk Identification - 11</t>
  </si>
  <si>
    <t>Menguruskan risiko rating - keluar (2) &amp; sederhana ke rendah (2)</t>
  </si>
  <si>
    <r>
      <t xml:space="preserve">Sila Pilih : </t>
    </r>
    <r>
      <rPr>
        <sz val="12"/>
        <color theme="1"/>
        <rFont val="Calibri"/>
        <family val="2"/>
      </rPr>
      <t>Pengurusan/Pengurus/Eksekutif/Teknikal/Sokongan</t>
    </r>
  </si>
  <si>
    <t>Penyediaan KPI Syarikat</t>
  </si>
  <si>
    <t>Penyediaan KPI Ketua Bahagian/ Jabatan / Kakitangan</t>
  </si>
  <si>
    <t>Kelulusan KPI Syarikat oleh ALP</t>
  </si>
  <si>
    <t>Kelulusan KPI Ketua Bahagian / Jabatan / Kakitangan oleh Ketua Pegawai Eksekutif / Ketua Bahagian / Jabatan</t>
  </si>
  <si>
    <t>KPI lengkap dikemukakan kepada HR</t>
  </si>
  <si>
    <t>Perlaksanaan KPI (Januari - Disember)</t>
  </si>
  <si>
    <t>KPI yang lengkap dikemukakan kepada HR untuk sesi penilaian prestasi</t>
  </si>
  <si>
    <t>PROSES PENYEDIAAN KPI DAN PENILAIAN PRESTASI PNSB DAN ANAK SYARIKAT</t>
  </si>
  <si>
    <t>Sesi penilaian prestasi dilaksanakan berdasarkan garis panduan dan ketetapan ALP</t>
  </si>
  <si>
    <t xml:space="preserve">- Kategori Eksekutif -&gt; Pengurusan Kanan </t>
  </si>
  <si>
    <t xml:space="preserve">  : Pemarkahan KPI : 80% , Penilaian Keperibadian : 20%</t>
  </si>
  <si>
    <t xml:space="preserve">- Kategori Ketua Pegawai Eksekutif </t>
  </si>
  <si>
    <t xml:space="preserve">  : Pemarkahan KPI : 100%</t>
  </si>
  <si>
    <t>- Kategori Sokongan / Teknikal</t>
  </si>
  <si>
    <t xml:space="preserve">  : Pemarkahan Penilaian Keperibadian : 100%</t>
  </si>
  <si>
    <t xml:space="preserve">Sesi moderasi </t>
  </si>
  <si>
    <t>- Sesi moderasi bagi penilaian prestasi oleh Ketua Bahagian / Jabatan dan Ketua Pegawai Eksekutif</t>
  </si>
  <si>
    <t>Kategori pemarkahan</t>
  </si>
  <si>
    <t>Penilaian prestasi akhir berdasarkan sesi moderasi dan jaduala pemarkahan.</t>
  </si>
  <si>
    <t>Proses</t>
  </si>
  <si>
    <t>Sasaran</t>
  </si>
  <si>
    <t>Review staff perfomance oleh Ketua Bahagian</t>
  </si>
  <si>
    <t>Sesi moderasi 1 : oleh Ketua Bahagian &amp; HR</t>
  </si>
  <si>
    <t>Sesi moderasi 2 : oleh Ketua Pegawai Eksekutif</t>
  </si>
  <si>
    <t>Sesi moderasi 2 adalah merupakan peringkat akhir penilaian prestasi.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</si>
</sst>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_);\(0.0\)"/>
    <numFmt numFmtId="166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color indexed="10"/>
      <name val="Calibri"/>
      <family val="2"/>
    </font>
    <font>
      <sz val="12"/>
      <color indexed="12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Aptos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1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5">
    <xf numFmtId="1" fontId="0" fillId="0" borderId="0" xfId="0"/>
    <xf numFmtId="1" fontId="4" fillId="0" borderId="0" xfId="0" applyFont="1" applyAlignment="1">
      <alignment vertical="center"/>
    </xf>
    <xf numFmtId="1" fontId="4" fillId="0" borderId="0" xfId="0" applyFont="1" applyAlignment="1">
      <alignment horizontal="center" vertical="center"/>
    </xf>
    <xf numFmtId="1" fontId="6" fillId="3" borderId="0" xfId="0" applyFont="1" applyFill="1" applyAlignment="1">
      <alignment horizontal="left" vertical="center"/>
    </xf>
    <xf numFmtId="1" fontId="6" fillId="3" borderId="0" xfId="0" applyFont="1" applyFill="1" applyAlignment="1">
      <alignment horizontal="center" vertical="center"/>
    </xf>
    <xf numFmtId="1" fontId="3" fillId="3" borderId="0" xfId="0" applyFont="1" applyFill="1" applyAlignment="1">
      <alignment horizontal="left" vertical="center"/>
    </xf>
    <xf numFmtId="1" fontId="3" fillId="3" borderId="0" xfId="0" applyFont="1" applyFill="1" applyAlignment="1">
      <alignment horizontal="center" vertical="center"/>
    </xf>
    <xf numFmtId="1" fontId="3" fillId="0" borderId="0" xfId="0" applyFont="1" applyAlignment="1">
      <alignment vertical="center"/>
    </xf>
    <xf numFmtId="1" fontId="3" fillId="4" borderId="16" xfId="0" applyFont="1" applyFill="1" applyBorder="1" applyAlignment="1">
      <alignment horizontal="center" vertical="center" wrapText="1"/>
    </xf>
    <xf numFmtId="1" fontId="3" fillId="4" borderId="23" xfId="0" applyFont="1" applyFill="1" applyBorder="1" applyAlignment="1">
      <alignment horizontal="center" vertical="center" wrapText="1"/>
    </xf>
    <xf numFmtId="1" fontId="3" fillId="4" borderId="24" xfId="0" applyFont="1" applyFill="1" applyBorder="1" applyAlignment="1">
      <alignment horizontal="center" vertical="center" wrapText="1"/>
    </xf>
    <xf numFmtId="1" fontId="3" fillId="4" borderId="7" xfId="0" applyFont="1" applyFill="1" applyBorder="1" applyAlignment="1">
      <alignment horizontal="center" vertical="center" wrapText="1"/>
    </xf>
    <xf numFmtId="1" fontId="4" fillId="3" borderId="26" xfId="0" applyFont="1" applyFill="1" applyBorder="1" applyAlignment="1">
      <alignment horizontal="center" vertical="center"/>
    </xf>
    <xf numFmtId="164" fontId="4" fillId="3" borderId="17" xfId="0" applyNumberFormat="1" applyFont="1" applyFill="1" applyBorder="1" applyAlignment="1">
      <alignment horizontal="center" vertical="center" wrapText="1"/>
    </xf>
    <xf numFmtId="1" fontId="4" fillId="3" borderId="18" xfId="0" applyFont="1" applyFill="1" applyBorder="1" applyAlignment="1">
      <alignment horizontal="center" vertical="center" wrapText="1"/>
    </xf>
    <xf numFmtId="9" fontId="4" fillId="3" borderId="34" xfId="0" applyNumberFormat="1" applyFont="1" applyFill="1" applyBorder="1" applyAlignment="1">
      <alignment horizontal="center" vertical="center"/>
    </xf>
    <xf numFmtId="1" fontId="2" fillId="0" borderId="17" xfId="0" applyFont="1" applyBorder="1" applyAlignment="1">
      <alignment vertical="center" wrapText="1" readingOrder="1"/>
    </xf>
    <xf numFmtId="164" fontId="2" fillId="0" borderId="17" xfId="0" applyNumberFormat="1" applyFont="1" applyBorder="1" applyAlignment="1">
      <alignment horizontal="center" vertical="center" wrapText="1" readingOrder="1"/>
    </xf>
    <xf numFmtId="17" fontId="2" fillId="0" borderId="17" xfId="0" applyNumberFormat="1" applyFont="1" applyBorder="1" applyAlignment="1">
      <alignment horizontal="center" vertical="center" wrapText="1"/>
    </xf>
    <xf numFmtId="1" fontId="2" fillId="0" borderId="32" xfId="0" applyFont="1" applyBorder="1" applyAlignment="1">
      <alignment vertical="center" wrapText="1" readingOrder="1"/>
    </xf>
    <xf numFmtId="164" fontId="2" fillId="0" borderId="32" xfId="0" applyNumberFormat="1" applyFont="1" applyBorder="1" applyAlignment="1">
      <alignment horizontal="center" vertical="center" wrapText="1" readingOrder="1"/>
    </xf>
    <xf numFmtId="164" fontId="4" fillId="3" borderId="32" xfId="0" applyNumberFormat="1" applyFont="1" applyFill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 readingOrder="1"/>
    </xf>
    <xf numFmtId="9" fontId="4" fillId="0" borderId="30" xfId="1" applyFont="1" applyFill="1" applyBorder="1" applyAlignment="1">
      <alignment horizontal="center" vertical="center"/>
    </xf>
    <xf numFmtId="1" fontId="2" fillId="0" borderId="30" xfId="0" applyFont="1" applyBorder="1" applyAlignment="1">
      <alignment horizontal="center" vertical="center" wrapText="1" readingOrder="1"/>
    </xf>
    <xf numFmtId="164" fontId="4" fillId="3" borderId="30" xfId="0" applyNumberFormat="1" applyFont="1" applyFill="1" applyBorder="1" applyAlignment="1">
      <alignment horizontal="center" vertical="center" wrapText="1"/>
    </xf>
    <xf numFmtId="1" fontId="7" fillId="0" borderId="34" xfId="0" applyFont="1" applyBorder="1" applyAlignment="1">
      <alignment vertical="center" wrapText="1" readingOrder="1"/>
    </xf>
    <xf numFmtId="1" fontId="4" fillId="0" borderId="26" xfId="0" applyFont="1" applyBorder="1" applyAlignment="1">
      <alignment horizontal="center" vertical="center"/>
    </xf>
    <xf numFmtId="1" fontId="7" fillId="0" borderId="17" xfId="0" applyFont="1" applyBorder="1" applyAlignment="1">
      <alignment horizontal="left" vertical="center" wrapText="1" readingOrder="1"/>
    </xf>
    <xf numFmtId="9" fontId="4" fillId="0" borderId="17" xfId="1" applyFont="1" applyFill="1" applyBorder="1" applyAlignment="1">
      <alignment horizontal="center" vertical="center"/>
    </xf>
    <xf numFmtId="1" fontId="2" fillId="0" borderId="17" xfId="0" applyFont="1" applyBorder="1" applyAlignment="1">
      <alignment horizontal="center" vertical="center" wrapText="1" readingOrder="1"/>
    </xf>
    <xf numFmtId="1" fontId="4" fillId="0" borderId="29" xfId="0" applyFont="1" applyBorder="1" applyAlignment="1">
      <alignment horizontal="center" vertical="center"/>
    </xf>
    <xf numFmtId="1" fontId="4" fillId="0" borderId="27" xfId="0" applyFont="1" applyBorder="1" applyAlignment="1">
      <alignment horizontal="center" vertical="center"/>
    </xf>
    <xf numFmtId="1" fontId="7" fillId="0" borderId="17" xfId="0" applyFont="1" applyBorder="1" applyAlignment="1">
      <alignment vertical="center" wrapText="1" readingOrder="1"/>
    </xf>
    <xf numFmtId="1" fontId="4" fillId="0" borderId="38" xfId="0" applyFont="1" applyBorder="1" applyAlignment="1">
      <alignment horizontal="center" vertical="center"/>
    </xf>
    <xf numFmtId="1" fontId="4" fillId="0" borderId="0" xfId="0" applyFont="1" applyAlignment="1">
      <alignment horizontal="left" vertical="center"/>
    </xf>
    <xf numFmtId="164" fontId="4" fillId="3" borderId="24" xfId="0" applyNumberFormat="1" applyFont="1" applyFill="1" applyBorder="1" applyAlignment="1">
      <alignment horizontal="center" vertical="center" wrapText="1"/>
    </xf>
    <xf numFmtId="1" fontId="4" fillId="3" borderId="28" xfId="0" applyFont="1" applyFill="1" applyBorder="1" applyAlignment="1">
      <alignment horizontal="center" vertical="center" wrapText="1"/>
    </xf>
    <xf numFmtId="1" fontId="2" fillId="0" borderId="30" xfId="0" applyFont="1" applyBorder="1" applyAlignment="1">
      <alignment vertical="center" wrapText="1" readingOrder="1"/>
    </xf>
    <xf numFmtId="164" fontId="2" fillId="0" borderId="34" xfId="0" applyNumberFormat="1" applyFont="1" applyBorder="1" applyAlignment="1">
      <alignment horizontal="center" vertical="center" wrapText="1" readingOrder="1"/>
    </xf>
    <xf numFmtId="164" fontId="4" fillId="3" borderId="34" xfId="0" applyNumberFormat="1" applyFont="1" applyFill="1" applyBorder="1" applyAlignment="1">
      <alignment horizontal="center" vertical="center" wrapText="1"/>
    </xf>
    <xf numFmtId="1" fontId="2" fillId="0" borderId="24" xfId="0" applyFont="1" applyBorder="1" applyAlignment="1">
      <alignment vertical="center" wrapText="1" readingOrder="1"/>
    </xf>
    <xf numFmtId="1" fontId="7" fillId="0" borderId="34" xfId="0" applyFont="1" applyBorder="1" applyAlignment="1">
      <alignment horizontal="left" vertical="center" wrapText="1" readingOrder="1"/>
    </xf>
    <xf numFmtId="1" fontId="6" fillId="3" borderId="0" xfId="0" applyFont="1" applyFill="1" applyAlignment="1">
      <alignment horizontal="left" vertical="center" indent="9"/>
    </xf>
    <xf numFmtId="1" fontId="3" fillId="3" borderId="0" xfId="0" applyFont="1" applyFill="1" applyAlignment="1">
      <alignment horizontal="left" vertical="center" indent="9"/>
    </xf>
    <xf numFmtId="1" fontId="3" fillId="3" borderId="0" xfId="0" applyFont="1" applyFill="1" applyAlignment="1">
      <alignment horizontal="left" vertical="center" indent="1"/>
    </xf>
    <xf numFmtId="1" fontId="3" fillId="3" borderId="0" xfId="0" applyFont="1" applyFill="1" applyAlignment="1">
      <alignment vertical="center"/>
    </xf>
    <xf numFmtId="1" fontId="4" fillId="3" borderId="0" xfId="0" applyFont="1" applyFill="1" applyAlignment="1">
      <alignment horizontal="center" vertical="center"/>
    </xf>
    <xf numFmtId="9" fontId="4" fillId="5" borderId="17" xfId="0" applyNumberFormat="1" applyFont="1" applyFill="1" applyBorder="1" applyAlignment="1">
      <alignment horizontal="center" vertical="center"/>
    </xf>
    <xf numFmtId="1" fontId="4" fillId="5" borderId="17" xfId="0" applyFont="1" applyFill="1" applyBorder="1" applyAlignment="1">
      <alignment horizontal="center" vertical="center"/>
    </xf>
    <xf numFmtId="166" fontId="4" fillId="5" borderId="17" xfId="2" applyNumberFormat="1" applyFont="1" applyFill="1" applyBorder="1" applyAlignment="1">
      <alignment horizontal="center" vertical="center"/>
    </xf>
    <xf numFmtId="1" fontId="4" fillId="5" borderId="26" xfId="0" applyFont="1" applyFill="1" applyBorder="1" applyAlignment="1">
      <alignment horizontal="center" vertical="center"/>
    </xf>
    <xf numFmtId="1" fontId="4" fillId="5" borderId="17" xfId="0" applyFont="1" applyFill="1" applyBorder="1" applyAlignment="1">
      <alignment vertical="center" wrapText="1"/>
    </xf>
    <xf numFmtId="1" fontId="3" fillId="3" borderId="0" xfId="0" applyFont="1" applyFill="1" applyAlignment="1">
      <alignment horizontal="left" vertical="center" indent="3"/>
    </xf>
    <xf numFmtId="1" fontId="7" fillId="0" borderId="30" xfId="0" applyFont="1" applyBorder="1" applyAlignment="1">
      <alignment vertical="center" wrapText="1" readingOrder="1"/>
    </xf>
    <xf numFmtId="1" fontId="7" fillId="0" borderId="24" xfId="0" applyFont="1" applyBorder="1" applyAlignment="1">
      <alignment vertical="center" wrapText="1" readingOrder="1"/>
    </xf>
    <xf numFmtId="1" fontId="2" fillId="0" borderId="24" xfId="0" applyFont="1" applyBorder="1" applyAlignment="1">
      <alignment horizontal="center" vertical="center" wrapText="1" readingOrder="1"/>
    </xf>
    <xf numFmtId="9" fontId="2" fillId="0" borderId="24" xfId="1" applyFont="1" applyFill="1" applyBorder="1" applyAlignment="1">
      <alignment horizontal="center" vertical="center"/>
    </xf>
    <xf numFmtId="9" fontId="2" fillId="3" borderId="34" xfId="0" applyNumberFormat="1" applyFont="1" applyFill="1" applyBorder="1" applyAlignment="1">
      <alignment horizontal="center" vertical="center" wrapText="1"/>
    </xf>
    <xf numFmtId="1" fontId="2" fillId="0" borderId="34" xfId="0" applyFont="1" applyBorder="1" applyAlignment="1">
      <alignment horizontal="center" vertical="center" wrapText="1" readingOrder="1"/>
    </xf>
    <xf numFmtId="1" fontId="4" fillId="3" borderId="0" xfId="0" applyFont="1" applyFill="1" applyAlignment="1">
      <alignment horizontal="left" vertical="center"/>
    </xf>
    <xf numFmtId="1" fontId="4" fillId="3" borderId="0" xfId="0" applyFont="1" applyFill="1" applyAlignment="1">
      <alignment horizontal="left" vertical="center" indent="1"/>
    </xf>
    <xf numFmtId="1" fontId="4" fillId="3" borderId="0" xfId="0" applyFont="1" applyFill="1" applyAlignment="1">
      <alignment vertical="center"/>
    </xf>
    <xf numFmtId="1" fontId="2" fillId="0" borderId="32" xfId="0" applyFont="1" applyBorder="1" applyAlignment="1">
      <alignment horizontal="center" vertical="center" wrapText="1" readingOrder="1"/>
    </xf>
    <xf numFmtId="1" fontId="4" fillId="5" borderId="27" xfId="0" applyFont="1" applyFill="1" applyBorder="1" applyAlignment="1">
      <alignment horizontal="center" vertical="center"/>
    </xf>
    <xf numFmtId="1" fontId="4" fillId="5" borderId="24" xfId="0" applyFont="1" applyFill="1" applyBorder="1" applyAlignment="1">
      <alignment vertical="center"/>
    </xf>
    <xf numFmtId="9" fontId="4" fillId="5" borderId="24" xfId="0" applyNumberFormat="1" applyFont="1" applyFill="1" applyBorder="1" applyAlignment="1">
      <alignment horizontal="center" vertical="center"/>
    </xf>
    <xf numFmtId="1" fontId="4" fillId="5" borderId="24" xfId="0" applyFont="1" applyFill="1" applyBorder="1" applyAlignment="1">
      <alignment horizontal="center" vertical="center"/>
    </xf>
    <xf numFmtId="9" fontId="2" fillId="0" borderId="30" xfId="1" applyFont="1" applyFill="1" applyBorder="1" applyAlignment="1">
      <alignment horizontal="center" vertical="center"/>
    </xf>
    <xf numFmtId="9" fontId="2" fillId="0" borderId="30" xfId="1" applyFont="1" applyFill="1" applyBorder="1" applyAlignment="1">
      <alignment horizontal="center" vertical="center" wrapText="1"/>
    </xf>
    <xf numFmtId="9" fontId="4" fillId="3" borderId="30" xfId="0" applyNumberFormat="1" applyFont="1" applyFill="1" applyBorder="1" applyAlignment="1">
      <alignment horizontal="center" vertical="center" wrapText="1"/>
    </xf>
    <xf numFmtId="166" fontId="4" fillId="5" borderId="24" xfId="2" applyNumberFormat="1" applyFont="1" applyFill="1" applyBorder="1" applyAlignment="1">
      <alignment horizontal="center" vertical="center"/>
    </xf>
    <xf numFmtId="1" fontId="4" fillId="0" borderId="34" xfId="0" applyFont="1" applyBorder="1" applyAlignment="1">
      <alignment vertical="center"/>
    </xf>
    <xf numFmtId="1" fontId="4" fillId="0" borderId="33" xfId="0" applyFont="1" applyBorder="1" applyAlignment="1">
      <alignment horizontal="center" vertical="center"/>
    </xf>
    <xf numFmtId="1" fontId="4" fillId="0" borderId="34" xfId="0" applyFont="1" applyBorder="1" applyAlignment="1">
      <alignment horizontal="center" vertical="center"/>
    </xf>
    <xf numFmtId="9" fontId="2" fillId="0" borderId="32" xfId="1" applyFont="1" applyFill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 readingOrder="1"/>
    </xf>
    <xf numFmtId="1" fontId="7" fillId="0" borderId="26" xfId="0" applyFont="1" applyBorder="1" applyAlignment="1">
      <alignment horizontal="center" vertical="center"/>
    </xf>
    <xf numFmtId="1" fontId="3" fillId="4" borderId="40" xfId="0" applyFont="1" applyFill="1" applyBorder="1" applyAlignment="1">
      <alignment horizontal="center" vertical="center" wrapText="1"/>
    </xf>
    <xf numFmtId="166" fontId="4" fillId="5" borderId="41" xfId="2" applyNumberFormat="1" applyFont="1" applyFill="1" applyBorder="1" applyAlignment="1">
      <alignment horizontal="center" vertical="center"/>
    </xf>
    <xf numFmtId="1" fontId="4" fillId="0" borderId="29" xfId="0" applyFont="1" applyBorder="1" applyAlignment="1">
      <alignment horizontal="center" vertical="center" wrapText="1"/>
    </xf>
    <xf numFmtId="9" fontId="8" fillId="6" borderId="14" xfId="1" applyFont="1" applyFill="1" applyBorder="1" applyAlignment="1">
      <alignment horizontal="left" vertical="center"/>
    </xf>
    <xf numFmtId="1" fontId="3" fillId="3" borderId="4" xfId="0" applyFont="1" applyFill="1" applyBorder="1" applyAlignment="1">
      <alignment horizontal="left" vertical="center" indent="1"/>
    </xf>
    <xf numFmtId="1" fontId="4" fillId="3" borderId="5" xfId="0" applyFont="1" applyFill="1" applyBorder="1" applyAlignment="1">
      <alignment vertical="center"/>
    </xf>
    <xf numFmtId="1" fontId="4" fillId="3" borderId="6" xfId="0" applyFont="1" applyFill="1" applyBorder="1" applyAlignment="1">
      <alignment vertical="center"/>
    </xf>
    <xf numFmtId="1" fontId="4" fillId="3" borderId="7" xfId="0" applyFont="1" applyFill="1" applyBorder="1" applyAlignment="1">
      <alignment horizontal="left" vertical="center" indent="1"/>
    </xf>
    <xf numFmtId="1" fontId="4" fillId="3" borderId="8" xfId="0" applyFont="1" applyFill="1" applyBorder="1" applyAlignment="1">
      <alignment vertical="center"/>
    </xf>
    <xf numFmtId="1" fontId="3" fillId="3" borderId="7" xfId="0" applyFont="1" applyFill="1" applyBorder="1" applyAlignment="1">
      <alignment horizontal="left" vertical="center" indent="1"/>
    </xf>
    <xf numFmtId="1" fontId="3" fillId="3" borderId="8" xfId="0" applyFont="1" applyFill="1" applyBorder="1" applyAlignment="1">
      <alignment vertical="center"/>
    </xf>
    <xf numFmtId="1" fontId="3" fillId="3" borderId="12" xfId="0" applyFont="1" applyFill="1" applyBorder="1" applyAlignment="1">
      <alignment horizontal="left" vertical="center" indent="1"/>
    </xf>
    <xf numFmtId="1" fontId="3" fillId="3" borderId="13" xfId="0" applyFont="1" applyFill="1" applyBorder="1" applyAlignment="1">
      <alignment vertical="center"/>
    </xf>
    <xf numFmtId="1" fontId="3" fillId="3" borderId="14" xfId="0" applyFont="1" applyFill="1" applyBorder="1" applyAlignment="1">
      <alignment vertical="center"/>
    </xf>
    <xf numFmtId="1" fontId="11" fillId="3" borderId="0" xfId="0" applyFont="1" applyFill="1" applyAlignment="1">
      <alignment horizontal="left" vertical="center"/>
    </xf>
    <xf numFmtId="9" fontId="4" fillId="3" borderId="0" xfId="1" applyFont="1" applyFill="1" applyAlignment="1">
      <alignment horizontal="center" vertical="center"/>
    </xf>
    <xf numFmtId="9" fontId="3" fillId="3" borderId="36" xfId="1" applyFont="1" applyFill="1" applyBorder="1" applyAlignment="1">
      <alignment horizontal="center" vertical="center"/>
    </xf>
    <xf numFmtId="9" fontId="3" fillId="3" borderId="0" xfId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vertical="center"/>
    </xf>
    <xf numFmtId="1" fontId="8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horizontal="left" vertical="center"/>
    </xf>
    <xf numFmtId="1" fontId="4" fillId="3" borderId="0" xfId="0" applyFont="1" applyFill="1" applyAlignment="1">
      <alignment vertical="center" wrapText="1"/>
    </xf>
    <xf numFmtId="1" fontId="8" fillId="3" borderId="0" xfId="0" applyFont="1" applyFill="1" applyAlignment="1">
      <alignment horizontal="center" vertical="center"/>
    </xf>
    <xf numFmtId="1" fontId="4" fillId="3" borderId="4" xfId="0" applyFont="1" applyFill="1" applyBorder="1" applyAlignment="1">
      <alignment horizontal="center" vertical="center"/>
    </xf>
    <xf numFmtId="1" fontId="4" fillId="3" borderId="5" xfId="0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vertical="center"/>
    </xf>
    <xf numFmtId="1" fontId="4" fillId="3" borderId="7" xfId="0" applyFont="1" applyFill="1" applyBorder="1" applyAlignment="1">
      <alignment horizontal="center" vertical="center"/>
    </xf>
    <xf numFmtId="9" fontId="4" fillId="3" borderId="0" xfId="1" applyFont="1" applyFill="1" applyBorder="1" applyAlignment="1">
      <alignment vertical="center"/>
    </xf>
    <xf numFmtId="9" fontId="8" fillId="3" borderId="8" xfId="0" applyNumberFormat="1" applyFont="1" applyFill="1" applyBorder="1" applyAlignment="1">
      <alignment horizontal="left" vertical="center"/>
    </xf>
    <xf numFmtId="165" fontId="4" fillId="3" borderId="7" xfId="0" applyNumberFormat="1" applyFont="1" applyFill="1" applyBorder="1" applyAlignment="1">
      <alignment horizontal="center" vertical="center"/>
    </xf>
    <xf numFmtId="9" fontId="2" fillId="3" borderId="0" xfId="1" applyFont="1" applyFill="1" applyAlignment="1">
      <alignment vertical="center"/>
    </xf>
    <xf numFmtId="9" fontId="2" fillId="3" borderId="8" xfId="1" applyFont="1" applyFill="1" applyBorder="1" applyAlignment="1">
      <alignment horizontal="left" vertical="center"/>
    </xf>
    <xf numFmtId="9" fontId="4" fillId="3" borderId="13" xfId="0" quotePrefix="1" applyNumberFormat="1" applyFont="1" applyFill="1" applyBorder="1" applyAlignment="1">
      <alignment horizontal="left" vertical="center"/>
    </xf>
    <xf numFmtId="1" fontId="9" fillId="3" borderId="13" xfId="0" applyFont="1" applyFill="1" applyBorder="1" applyAlignment="1">
      <alignment vertical="center"/>
    </xf>
    <xf numFmtId="164" fontId="4" fillId="3" borderId="0" xfId="0" applyNumberFormat="1" applyFont="1" applyFill="1" applyAlignment="1">
      <alignment horizontal="center" vertical="center"/>
    </xf>
    <xf numFmtId="165" fontId="10" fillId="3" borderId="0" xfId="0" applyNumberFormat="1" applyFont="1" applyFill="1" applyAlignment="1">
      <alignment vertical="center"/>
    </xf>
    <xf numFmtId="9" fontId="4" fillId="3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horizontal="center" vertical="center"/>
    </xf>
    <xf numFmtId="9" fontId="10" fillId="3" borderId="0" xfId="0" applyNumberFormat="1" applyFont="1" applyFill="1" applyAlignment="1">
      <alignment vertical="center"/>
    </xf>
    <xf numFmtId="1" fontId="10" fillId="3" borderId="0" xfId="0" applyFont="1" applyFill="1" applyAlignment="1">
      <alignment vertical="center"/>
    </xf>
    <xf numFmtId="165" fontId="3" fillId="3" borderId="12" xfId="0" applyNumberFormat="1" applyFont="1" applyFill="1" applyBorder="1" applyAlignment="1">
      <alignment horizontal="center" vertical="center"/>
    </xf>
    <xf numFmtId="3" fontId="4" fillId="0" borderId="35" xfId="0" applyNumberFormat="1" applyFont="1" applyBorder="1" applyAlignment="1">
      <alignment horizontal="left" vertical="center" wrapText="1" indent="1"/>
    </xf>
    <xf numFmtId="1" fontId="2" fillId="0" borderId="30" xfId="0" applyFont="1" applyBorder="1" applyAlignment="1">
      <alignment horizontal="center" vertical="center" wrapText="1"/>
    </xf>
    <xf numFmtId="0" fontId="2" fillId="0" borderId="30" xfId="1" applyNumberFormat="1" applyFont="1" applyFill="1" applyBorder="1" applyAlignment="1">
      <alignment horizontal="center" vertical="center" wrapText="1"/>
    </xf>
    <xf numFmtId="1" fontId="4" fillId="0" borderId="30" xfId="0" applyFont="1" applyBorder="1" applyAlignment="1">
      <alignment horizontal="center" vertical="center" wrapText="1"/>
    </xf>
    <xf numFmtId="1" fontId="2" fillId="0" borderId="32" xfId="0" applyFont="1" applyBorder="1" applyAlignment="1">
      <alignment horizontal="center" vertical="center" wrapText="1"/>
    </xf>
    <xf numFmtId="9" fontId="2" fillId="0" borderId="24" xfId="1" applyFont="1" applyFill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3" fontId="2" fillId="0" borderId="34" xfId="0" applyNumberFormat="1" applyFont="1" applyBorder="1" applyAlignment="1">
      <alignment horizontal="center" vertical="center" wrapText="1"/>
    </xf>
    <xf numFmtId="0" fontId="4" fillId="3" borderId="18" xfId="0" applyNumberFormat="1" applyFont="1" applyFill="1" applyBorder="1" applyAlignment="1">
      <alignment horizontal="left" vertical="center" wrapText="1" indent="1"/>
    </xf>
    <xf numFmtId="0" fontId="4" fillId="0" borderId="31" xfId="0" applyNumberFormat="1" applyFont="1" applyBorder="1" applyAlignment="1">
      <alignment horizontal="left" vertical="center" wrapText="1"/>
    </xf>
    <xf numFmtId="0" fontId="4" fillId="3" borderId="31" xfId="0" applyNumberFormat="1" applyFont="1" applyFill="1" applyBorder="1" applyAlignment="1">
      <alignment horizontal="left" vertical="center" wrapText="1" indent="1"/>
    </xf>
    <xf numFmtId="0" fontId="4" fillId="3" borderId="35" xfId="0" applyNumberFormat="1" applyFont="1" applyFill="1" applyBorder="1" applyAlignment="1">
      <alignment horizontal="left" vertical="center" wrapText="1" indent="1"/>
    </xf>
    <xf numFmtId="0" fontId="4" fillId="0" borderId="39" xfId="0" applyNumberFormat="1" applyFont="1" applyBorder="1" applyAlignment="1">
      <alignment horizontal="left" vertical="center" wrapText="1" indent="1"/>
    </xf>
    <xf numFmtId="0" fontId="4" fillId="0" borderId="31" xfId="0" applyNumberFormat="1" applyFont="1" applyBorder="1" applyAlignment="1">
      <alignment horizontal="left" vertical="center" wrapText="1" indent="1"/>
    </xf>
    <xf numFmtId="0" fontId="4" fillId="0" borderId="28" xfId="0" applyNumberFormat="1" applyFont="1" applyBorder="1" applyAlignment="1">
      <alignment horizontal="left" vertical="center" wrapText="1" indent="1"/>
    </xf>
    <xf numFmtId="166" fontId="4" fillId="5" borderId="44" xfId="2" applyNumberFormat="1" applyFont="1" applyFill="1" applyBorder="1" applyAlignment="1">
      <alignment horizontal="center" vertical="center"/>
    </xf>
    <xf numFmtId="17" fontId="2" fillId="0" borderId="41" xfId="0" applyNumberFormat="1" applyFont="1" applyBorder="1" applyAlignment="1">
      <alignment horizontal="center" vertical="center" wrapText="1"/>
    </xf>
    <xf numFmtId="1" fontId="2" fillId="0" borderId="9" xfId="0" applyFont="1" applyBorder="1" applyAlignment="1">
      <alignment horizontal="center" vertical="center" wrapText="1"/>
    </xf>
    <xf numFmtId="0" fontId="2" fillId="0" borderId="9" xfId="1" applyNumberFormat="1" applyFont="1" applyFill="1" applyBorder="1" applyAlignment="1">
      <alignment horizontal="center" vertical="center" wrapText="1"/>
    </xf>
    <xf numFmtId="1" fontId="4" fillId="0" borderId="9" xfId="0" applyFont="1" applyBorder="1" applyAlignment="1">
      <alignment horizontal="center" vertical="center" wrapText="1"/>
    </xf>
    <xf numFmtId="1" fontId="4" fillId="0" borderId="42" xfId="0" applyFont="1" applyBorder="1" applyAlignment="1">
      <alignment horizontal="center" vertical="center"/>
    </xf>
    <xf numFmtId="1" fontId="2" fillId="0" borderId="43" xfId="0" applyFont="1" applyBorder="1" applyAlignment="1">
      <alignment horizontal="center" vertical="center" wrapText="1"/>
    </xf>
    <xf numFmtId="9" fontId="2" fillId="0" borderId="9" xfId="1" applyFont="1" applyFill="1" applyBorder="1" applyAlignment="1">
      <alignment horizontal="center" vertical="center" wrapText="1"/>
    </xf>
    <xf numFmtId="9" fontId="2" fillId="0" borderId="44" xfId="1" applyFont="1" applyFill="1" applyBorder="1" applyAlignment="1">
      <alignment horizontal="center" vertical="center" wrapText="1"/>
    </xf>
    <xf numFmtId="0" fontId="2" fillId="0" borderId="41" xfId="0" applyNumberFormat="1" applyFont="1" applyBorder="1" applyAlignment="1">
      <alignment horizontal="center" vertical="center" wrapText="1"/>
    </xf>
    <xf numFmtId="3" fontId="2" fillId="0" borderId="42" xfId="0" applyNumberFormat="1" applyFont="1" applyBorder="1" applyAlignment="1">
      <alignment horizontal="center" vertical="center" wrapText="1"/>
    </xf>
    <xf numFmtId="1" fontId="7" fillId="0" borderId="27" xfId="0" applyFont="1" applyBorder="1" applyAlignment="1">
      <alignment horizontal="center" vertical="center"/>
    </xf>
    <xf numFmtId="1" fontId="4" fillId="0" borderId="26" xfId="0" applyFont="1" applyBorder="1" applyAlignment="1">
      <alignment horizontal="center" vertical="center" wrapText="1"/>
    </xf>
    <xf numFmtId="1" fontId="4" fillId="0" borderId="38" xfId="0" applyFont="1" applyBorder="1" applyAlignment="1">
      <alignment horizontal="center" vertical="center" wrapText="1"/>
    </xf>
    <xf numFmtId="1" fontId="4" fillId="0" borderId="33" xfId="0" applyFont="1" applyBorder="1" applyAlignment="1">
      <alignment horizontal="center" vertical="center" wrapText="1"/>
    </xf>
    <xf numFmtId="1" fontId="4" fillId="0" borderId="27" xfId="0" applyFont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center" vertical="center" wrapText="1"/>
    </xf>
    <xf numFmtId="1" fontId="0" fillId="0" borderId="0" xfId="0" applyAlignment="1">
      <alignment horizontal="center"/>
    </xf>
    <xf numFmtId="1" fontId="13" fillId="0" borderId="0" xfId="0" applyFont="1" applyAlignment="1">
      <alignment horizontal="left"/>
    </xf>
    <xf numFmtId="1" fontId="0" fillId="0" borderId="0" xfId="0" quotePrefix="1"/>
    <xf numFmtId="1" fontId="12" fillId="0" borderId="0" xfId="0" applyFont="1"/>
    <xf numFmtId="9" fontId="4" fillId="3" borderId="17" xfId="0" applyNumberFormat="1" applyFont="1" applyFill="1" applyBorder="1" applyAlignment="1">
      <alignment horizontal="center" vertical="center"/>
    </xf>
    <xf numFmtId="9" fontId="4" fillId="3" borderId="30" xfId="0" applyNumberFormat="1" applyFont="1" applyFill="1" applyBorder="1" applyAlignment="1">
      <alignment horizontal="center" vertical="center"/>
    </xf>
    <xf numFmtId="1" fontId="3" fillId="0" borderId="17" xfId="0" applyFont="1" applyBorder="1" applyAlignment="1">
      <alignment horizontal="center" vertical="center" wrapText="1"/>
    </xf>
    <xf numFmtId="1" fontId="3" fillId="0" borderId="34" xfId="0" applyFont="1" applyBorder="1" applyAlignment="1">
      <alignment horizontal="center" vertical="center" wrapText="1"/>
    </xf>
    <xf numFmtId="9" fontId="4" fillId="0" borderId="17" xfId="1" applyFont="1" applyFill="1" applyBorder="1" applyAlignment="1">
      <alignment horizontal="center" vertical="center"/>
    </xf>
    <xf numFmtId="9" fontId="4" fillId="0" borderId="34" xfId="1" applyFont="1" applyFill="1" applyBorder="1" applyAlignment="1">
      <alignment horizontal="center" vertical="center"/>
    </xf>
    <xf numFmtId="1" fontId="7" fillId="0" borderId="17" xfId="0" applyFont="1" applyBorder="1" applyAlignment="1">
      <alignment horizontal="left" vertical="center" wrapText="1" readingOrder="1"/>
    </xf>
    <xf numFmtId="1" fontId="7" fillId="0" borderId="30" xfId="0" applyFont="1" applyBorder="1" applyAlignment="1">
      <alignment horizontal="left" vertical="center" wrapText="1" readingOrder="1"/>
    </xf>
    <xf numFmtId="1" fontId="3" fillId="0" borderId="32" xfId="0" applyFont="1" applyBorder="1" applyAlignment="1">
      <alignment horizontal="center" vertical="center" wrapText="1"/>
    </xf>
    <xf numFmtId="1" fontId="3" fillId="0" borderId="30" xfId="0" applyFont="1" applyBorder="1" applyAlignment="1">
      <alignment horizontal="center" vertical="center" wrapText="1"/>
    </xf>
    <xf numFmtId="1" fontId="3" fillId="0" borderId="24" xfId="0" applyFont="1" applyBorder="1" applyAlignment="1">
      <alignment horizontal="center" vertical="center" wrapText="1"/>
    </xf>
    <xf numFmtId="1" fontId="7" fillId="0" borderId="32" xfId="0" applyFont="1" applyBorder="1" applyAlignment="1">
      <alignment horizontal="left" vertical="center" wrapText="1" readingOrder="1"/>
    </xf>
    <xf numFmtId="9" fontId="2" fillId="0" borderId="32" xfId="1" applyFont="1" applyFill="1" applyBorder="1" applyAlignment="1">
      <alignment horizontal="center" vertical="center"/>
    </xf>
    <xf numFmtId="9" fontId="2" fillId="0" borderId="30" xfId="1" applyFont="1" applyFill="1" applyBorder="1" applyAlignment="1">
      <alignment horizontal="center" vertical="center"/>
    </xf>
    <xf numFmtId="9" fontId="2" fillId="0" borderId="24" xfId="1" applyFont="1" applyFill="1" applyBorder="1" applyAlignment="1">
      <alignment horizontal="center" vertical="center"/>
    </xf>
    <xf numFmtId="9" fontId="4" fillId="3" borderId="16" xfId="0" applyNumberFormat="1" applyFont="1" applyFill="1" applyBorder="1" applyAlignment="1">
      <alignment horizontal="center" vertical="center"/>
    </xf>
    <xf numFmtId="9" fontId="4" fillId="3" borderId="23" xfId="0" applyNumberFormat="1" applyFont="1" applyFill="1" applyBorder="1" applyAlignment="1">
      <alignment horizontal="center" vertical="center"/>
    </xf>
    <xf numFmtId="9" fontId="4" fillId="3" borderId="37" xfId="0" applyNumberFormat="1" applyFont="1" applyFill="1" applyBorder="1" applyAlignment="1">
      <alignment horizontal="center" vertical="center"/>
    </xf>
    <xf numFmtId="1" fontId="3" fillId="4" borderId="16" xfId="0" applyFont="1" applyFill="1" applyBorder="1" applyAlignment="1">
      <alignment horizontal="center" vertical="center"/>
    </xf>
    <xf numFmtId="1" fontId="3" fillId="4" borderId="23" xfId="0" applyFont="1" applyFill="1" applyBorder="1" applyAlignment="1">
      <alignment horizontal="center" vertical="center"/>
    </xf>
    <xf numFmtId="1" fontId="3" fillId="4" borderId="17" xfId="0" applyFont="1" applyFill="1" applyBorder="1" applyAlignment="1">
      <alignment horizontal="center" vertical="center"/>
    </xf>
    <xf numFmtId="1" fontId="3" fillId="4" borderId="41" xfId="0" applyFont="1" applyFill="1" applyBorder="1" applyAlignment="1">
      <alignment horizontal="center" vertical="center"/>
    </xf>
    <xf numFmtId="1" fontId="3" fillId="4" borderId="19" xfId="0" applyFont="1" applyFill="1" applyBorder="1" applyAlignment="1">
      <alignment horizontal="center" vertical="center" wrapText="1"/>
    </xf>
    <xf numFmtId="1" fontId="3" fillId="4" borderId="20" xfId="0" applyFont="1" applyFill="1" applyBorder="1" applyAlignment="1">
      <alignment horizontal="center" vertical="center" wrapText="1"/>
    </xf>
    <xf numFmtId="1" fontId="3" fillId="4" borderId="21" xfId="0" applyFont="1" applyFill="1" applyBorder="1" applyAlignment="1">
      <alignment horizontal="left" vertical="center" indent="1"/>
    </xf>
    <xf numFmtId="1" fontId="3" fillId="4" borderId="25" xfId="0" applyFont="1" applyFill="1" applyBorder="1" applyAlignment="1">
      <alignment horizontal="left" vertical="center" indent="1"/>
    </xf>
    <xf numFmtId="1" fontId="3" fillId="5" borderId="17" xfId="0" applyFont="1" applyFill="1" applyBorder="1" applyAlignment="1">
      <alignment horizontal="center" vertical="center" wrapText="1"/>
    </xf>
    <xf numFmtId="1" fontId="3" fillId="5" borderId="24" xfId="0" applyFont="1" applyFill="1" applyBorder="1" applyAlignment="1">
      <alignment horizontal="center" vertical="center" wrapText="1"/>
    </xf>
    <xf numFmtId="1" fontId="4" fillId="5" borderId="17" xfId="0" applyFont="1" applyFill="1" applyBorder="1" applyAlignment="1">
      <alignment horizontal="left" vertical="center" wrapText="1"/>
    </xf>
    <xf numFmtId="1" fontId="4" fillId="5" borderId="24" xfId="0" applyFont="1" applyFill="1" applyBorder="1" applyAlignment="1">
      <alignment horizontal="left" vertical="center" wrapText="1"/>
    </xf>
    <xf numFmtId="9" fontId="4" fillId="5" borderId="17" xfId="0" applyNumberFormat="1" applyFont="1" applyFill="1" applyBorder="1" applyAlignment="1">
      <alignment horizontal="center" vertical="center"/>
    </xf>
    <xf numFmtId="9" fontId="4" fillId="5" borderId="24" xfId="0" applyNumberFormat="1" applyFont="1" applyFill="1" applyBorder="1" applyAlignment="1">
      <alignment horizontal="center" vertical="center"/>
    </xf>
    <xf numFmtId="1" fontId="3" fillId="4" borderId="16" xfId="0" applyFont="1" applyFill="1" applyBorder="1" applyAlignment="1">
      <alignment horizontal="center" vertical="center" wrapText="1"/>
    </xf>
    <xf numFmtId="1" fontId="3" fillId="4" borderId="23" xfId="0" applyFont="1" applyFill="1" applyBorder="1" applyAlignment="1">
      <alignment horizontal="center" vertical="center" wrapText="1"/>
    </xf>
    <xf numFmtId="1" fontId="3" fillId="4" borderId="15" xfId="0" applyFont="1" applyFill="1" applyBorder="1" applyAlignment="1">
      <alignment horizontal="center" vertical="center"/>
    </xf>
    <xf numFmtId="1" fontId="3" fillId="4" borderId="22" xfId="0" applyFont="1" applyFill="1" applyBorder="1" applyAlignment="1">
      <alignment horizontal="center" vertical="center"/>
    </xf>
    <xf numFmtId="1" fontId="3" fillId="3" borderId="9" xfId="0" applyFont="1" applyFill="1" applyBorder="1" applyAlignment="1">
      <alignment horizontal="left" vertical="center" indent="1"/>
    </xf>
    <xf numFmtId="1" fontId="3" fillId="3" borderId="10" xfId="0" applyFont="1" applyFill="1" applyBorder="1" applyAlignment="1">
      <alignment horizontal="left" vertical="center" indent="1"/>
    </xf>
    <xf numFmtId="1" fontId="3" fillId="3" borderId="11" xfId="0" applyFont="1" applyFill="1" applyBorder="1" applyAlignment="1">
      <alignment horizontal="left" vertical="center" indent="1"/>
    </xf>
    <xf numFmtId="1" fontId="3" fillId="3" borderId="9" xfId="0" applyFont="1" applyFill="1" applyBorder="1" applyAlignment="1">
      <alignment vertical="center"/>
    </xf>
    <xf numFmtId="1" fontId="3" fillId="3" borderId="10" xfId="0" applyFont="1" applyFill="1" applyBorder="1" applyAlignment="1">
      <alignment vertical="center"/>
    </xf>
    <xf numFmtId="1" fontId="3" fillId="3" borderId="11" xfId="0" applyFont="1" applyFill="1" applyBorder="1" applyAlignment="1">
      <alignment vertical="center"/>
    </xf>
    <xf numFmtId="1" fontId="5" fillId="2" borderId="5" xfId="0" applyFont="1" applyFill="1" applyBorder="1" applyAlignment="1">
      <alignment horizontal="center" vertical="center" wrapText="1"/>
    </xf>
    <xf numFmtId="1" fontId="5" fillId="2" borderId="5" xfId="0" applyFont="1" applyFill="1" applyBorder="1" applyAlignment="1">
      <alignment horizontal="center" vertical="center"/>
    </xf>
    <xf numFmtId="1" fontId="5" fillId="2" borderId="0" xfId="0" applyFont="1" applyFill="1" applyAlignment="1">
      <alignment horizontal="center" vertical="center"/>
    </xf>
    <xf numFmtId="1" fontId="5" fillId="2" borderId="1" xfId="0" applyFont="1" applyFill="1" applyBorder="1" applyAlignment="1">
      <alignment horizontal="center" vertical="center"/>
    </xf>
    <xf numFmtId="1" fontId="5" fillId="2" borderId="2" xfId="0" applyFont="1" applyFill="1" applyBorder="1" applyAlignment="1">
      <alignment horizontal="center" vertical="center"/>
    </xf>
    <xf numFmtId="1" fontId="5" fillId="2" borderId="3" xfId="0" applyFont="1" applyFill="1" applyBorder="1" applyAlignment="1">
      <alignment horizontal="center" vertical="center"/>
    </xf>
    <xf numFmtId="1" fontId="3" fillId="3" borderId="0" xfId="0" applyFont="1" applyFill="1" applyAlignment="1">
      <alignment horizontal="left" vertical="center" indent="3"/>
    </xf>
    <xf numFmtId="1" fontId="14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21</xdr:row>
      <xdr:rowOff>83822</xdr:rowOff>
    </xdr:from>
    <xdr:to>
      <xdr:col>1</xdr:col>
      <xdr:colOff>1668780</xdr:colOff>
      <xdr:row>26</xdr:row>
      <xdr:rowOff>129372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47C95-2E1C-B2B2-259D-2C93A2C30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741422"/>
          <a:ext cx="1562100" cy="95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6B70-7FDD-5C46-9A66-7B7A8B5297ED}">
  <sheetPr>
    <pageSetUpPr fitToPage="1"/>
  </sheetPr>
  <dimension ref="A1:N39"/>
  <sheetViews>
    <sheetView topLeftCell="A17" zoomScale="70" zoomScaleNormal="70" zoomScaleSheetLayoutView="70" workbookViewId="0">
      <selection activeCell="H24" sqref="H24"/>
    </sheetView>
  </sheetViews>
  <sheetFormatPr baseColWidth="10" defaultColWidth="9" defaultRowHeight="16" x14ac:dyDescent="0.2"/>
  <cols>
    <col min="1" max="1" width="8.5" style="2" customWidth="1"/>
    <col min="2" max="2" width="28" style="2" customWidth="1"/>
    <col min="3" max="3" width="28.5" style="35" customWidth="1"/>
    <col min="4" max="4" width="43.6640625" style="1" customWidth="1"/>
    <col min="5" max="5" width="12.6640625" style="2" customWidth="1"/>
    <col min="6" max="6" width="13.5" style="2" customWidth="1"/>
    <col min="7" max="7" width="12" style="2" customWidth="1"/>
    <col min="8" max="8" width="15.6640625" style="2" customWidth="1"/>
    <col min="9" max="9" width="13.6640625" style="2" customWidth="1"/>
    <col min="10" max="10" width="13.33203125" style="2" customWidth="1"/>
    <col min="11" max="11" width="14.6640625" style="2" customWidth="1"/>
    <col min="12" max="12" width="14.83203125" style="1" customWidth="1"/>
    <col min="13" max="13" width="9" style="1"/>
    <col min="14" max="14" width="26.33203125" style="1" customWidth="1"/>
    <col min="15" max="16384" width="9" style="1"/>
  </cols>
  <sheetData>
    <row r="1" spans="1:14" ht="19.25" customHeight="1" thickBot="1" x14ac:dyDescent="0.25">
      <c r="A1" s="44"/>
      <c r="B1" s="92" t="s">
        <v>0</v>
      </c>
      <c r="C1" s="62"/>
      <c r="D1" s="62"/>
      <c r="E1" s="47"/>
      <c r="F1" s="47"/>
      <c r="G1" s="47"/>
      <c r="I1" s="197" t="s">
        <v>55</v>
      </c>
      <c r="J1" s="198"/>
      <c r="K1" s="198"/>
      <c r="L1" s="200" t="s">
        <v>1</v>
      </c>
      <c r="M1" s="201"/>
      <c r="N1" s="202"/>
    </row>
    <row r="2" spans="1:14" x14ac:dyDescent="0.2">
      <c r="A2" s="43"/>
      <c r="B2" s="4"/>
      <c r="C2" s="3"/>
      <c r="D2" s="4"/>
      <c r="E2" s="4"/>
      <c r="F2" s="4"/>
      <c r="G2" s="4"/>
      <c r="H2" s="4"/>
      <c r="I2" s="199"/>
      <c r="J2" s="199"/>
      <c r="K2" s="199"/>
      <c r="L2" s="62"/>
      <c r="M2" s="62"/>
      <c r="N2" s="62"/>
    </row>
    <row r="3" spans="1:14" ht="17" thickBot="1" x14ac:dyDescent="0.25">
      <c r="A3" s="43"/>
      <c r="B3" s="4"/>
      <c r="C3" s="3"/>
      <c r="D3" s="4"/>
      <c r="E3" s="4"/>
      <c r="F3" s="4"/>
      <c r="G3" s="4"/>
      <c r="H3" s="4"/>
      <c r="I3" s="4"/>
      <c r="J3" s="4"/>
      <c r="K3" s="4"/>
      <c r="L3" s="62"/>
      <c r="M3" s="62"/>
      <c r="N3" s="62"/>
    </row>
    <row r="4" spans="1:14" x14ac:dyDescent="0.2">
      <c r="A4" s="44" t="s">
        <v>2</v>
      </c>
      <c r="B4" s="4"/>
      <c r="C4" s="3"/>
      <c r="D4" s="4"/>
      <c r="E4" s="4"/>
      <c r="F4" s="4"/>
      <c r="G4" s="4"/>
      <c r="I4" s="4"/>
      <c r="J4" s="4"/>
      <c r="K4" s="4"/>
      <c r="L4" s="82" t="s">
        <v>3</v>
      </c>
      <c r="M4" s="83"/>
      <c r="N4" s="84"/>
    </row>
    <row r="5" spans="1:14" x14ac:dyDescent="0.2">
      <c r="A5" s="4"/>
      <c r="B5" s="4"/>
      <c r="C5" s="3"/>
      <c r="D5" s="4"/>
      <c r="E5" s="4"/>
      <c r="F5" s="4"/>
      <c r="G5" s="4"/>
      <c r="H5" s="4"/>
      <c r="I5" s="4"/>
      <c r="J5" s="4"/>
      <c r="K5" s="4"/>
      <c r="L5" s="85"/>
      <c r="M5" s="62"/>
      <c r="N5" s="86"/>
    </row>
    <row r="6" spans="1:14" s="7" customFormat="1" x14ac:dyDescent="0.2">
      <c r="A6" s="5" t="s">
        <v>4</v>
      </c>
      <c r="B6" s="191"/>
      <c r="C6" s="192"/>
      <c r="D6" s="193"/>
      <c r="E6" s="203" t="s">
        <v>47</v>
      </c>
      <c r="F6" s="203"/>
      <c r="G6" s="6"/>
      <c r="H6" s="194"/>
      <c r="I6" s="195"/>
      <c r="J6" s="195"/>
      <c r="K6" s="196"/>
      <c r="L6" s="87" t="s">
        <v>5</v>
      </c>
      <c r="M6" s="46"/>
      <c r="N6" s="88"/>
    </row>
    <row r="7" spans="1:14" s="7" customFormat="1" x14ac:dyDescent="0.2">
      <c r="A7" s="5"/>
      <c r="B7" s="45"/>
      <c r="C7" s="5"/>
      <c r="D7" s="45"/>
      <c r="E7" s="53"/>
      <c r="F7" s="53"/>
      <c r="G7" s="6"/>
      <c r="H7" s="6"/>
      <c r="I7" s="6"/>
      <c r="J7" s="6"/>
      <c r="K7" s="6"/>
      <c r="L7" s="87"/>
      <c r="M7" s="46"/>
      <c r="N7" s="88"/>
    </row>
    <row r="8" spans="1:14" s="7" customFormat="1" ht="17" thickBot="1" x14ac:dyDescent="0.25">
      <c r="A8" s="5" t="s">
        <v>6</v>
      </c>
      <c r="B8" s="191"/>
      <c r="C8" s="192"/>
      <c r="D8" s="193"/>
      <c r="E8" s="53" t="s">
        <v>7</v>
      </c>
      <c r="F8" s="53"/>
      <c r="G8" s="6"/>
      <c r="H8" s="194" t="s">
        <v>101</v>
      </c>
      <c r="I8" s="195"/>
      <c r="J8" s="195"/>
      <c r="K8" s="196"/>
      <c r="L8" s="89" t="s">
        <v>8</v>
      </c>
      <c r="M8" s="90"/>
      <c r="N8" s="91"/>
    </row>
    <row r="9" spans="1:14" ht="17" thickBot="1" x14ac:dyDescent="0.25">
      <c r="A9" s="6"/>
      <c r="B9" s="6"/>
      <c r="C9" s="5"/>
      <c r="D9" s="6"/>
      <c r="E9" s="6"/>
      <c r="F9" s="6"/>
      <c r="G9" s="6"/>
      <c r="H9" s="6"/>
      <c r="I9" s="6"/>
      <c r="J9" s="6"/>
      <c r="K9" s="6"/>
      <c r="L9" s="62"/>
      <c r="M9" s="62"/>
      <c r="N9" s="62"/>
    </row>
    <row r="10" spans="1:14" x14ac:dyDescent="0.2">
      <c r="A10" s="189" t="s">
        <v>9</v>
      </c>
      <c r="B10" s="187" t="s">
        <v>10</v>
      </c>
      <c r="C10" s="173" t="s">
        <v>11</v>
      </c>
      <c r="D10" s="173" t="s">
        <v>12</v>
      </c>
      <c r="E10" s="187" t="s">
        <v>13</v>
      </c>
      <c r="F10" s="187" t="s">
        <v>14</v>
      </c>
      <c r="G10" s="8"/>
      <c r="H10" s="173" t="s">
        <v>56</v>
      </c>
      <c r="I10" s="175" t="s">
        <v>16</v>
      </c>
      <c r="J10" s="175"/>
      <c r="K10" s="176"/>
      <c r="L10" s="177" t="s">
        <v>17</v>
      </c>
      <c r="M10" s="178"/>
      <c r="N10" s="179" t="s">
        <v>18</v>
      </c>
    </row>
    <row r="11" spans="1:14" ht="56.75" customHeight="1" thickBot="1" x14ac:dyDescent="0.25">
      <c r="A11" s="190"/>
      <c r="B11" s="188"/>
      <c r="C11" s="174"/>
      <c r="D11" s="174"/>
      <c r="E11" s="188"/>
      <c r="F11" s="188"/>
      <c r="G11" s="9" t="s">
        <v>15</v>
      </c>
      <c r="H11" s="174"/>
      <c r="I11" s="10" t="s">
        <v>63</v>
      </c>
      <c r="J11" s="10" t="s">
        <v>64</v>
      </c>
      <c r="K11" s="78" t="s">
        <v>65</v>
      </c>
      <c r="L11" s="11" t="s">
        <v>19</v>
      </c>
      <c r="M11" s="10" t="s">
        <v>20</v>
      </c>
      <c r="N11" s="180"/>
    </row>
    <row r="12" spans="1:14" ht="44.75" customHeight="1" x14ac:dyDescent="0.2">
      <c r="A12" s="51">
        <v>1</v>
      </c>
      <c r="B12" s="181" t="s">
        <v>21</v>
      </c>
      <c r="C12" s="183" t="s">
        <v>22</v>
      </c>
      <c r="D12" s="52" t="s">
        <v>23</v>
      </c>
      <c r="E12" s="48">
        <v>0.2</v>
      </c>
      <c r="F12" s="185">
        <f>SUM(E12:E13)</f>
        <v>0.4</v>
      </c>
      <c r="G12" s="48" t="s">
        <v>24</v>
      </c>
      <c r="H12" s="49" t="s">
        <v>25</v>
      </c>
      <c r="I12" s="50">
        <v>100000</v>
      </c>
      <c r="J12" s="50">
        <v>150000</v>
      </c>
      <c r="K12" s="79">
        <v>200000</v>
      </c>
      <c r="L12" s="77">
        <v>80</v>
      </c>
      <c r="M12" s="13">
        <f>L12/100*E12</f>
        <v>0.16000000000000003</v>
      </c>
      <c r="N12" s="14"/>
    </row>
    <row r="13" spans="1:14" ht="40.25" customHeight="1" thickBot="1" x14ac:dyDescent="0.25">
      <c r="A13" s="64">
        <v>2</v>
      </c>
      <c r="B13" s="182"/>
      <c r="C13" s="184"/>
      <c r="D13" s="65" t="s">
        <v>26</v>
      </c>
      <c r="E13" s="66">
        <v>0.2</v>
      </c>
      <c r="F13" s="186"/>
      <c r="G13" s="66" t="s">
        <v>24</v>
      </c>
      <c r="H13" s="67" t="s">
        <v>25</v>
      </c>
      <c r="I13" s="71">
        <v>8000</v>
      </c>
      <c r="J13" s="71">
        <v>10000</v>
      </c>
      <c r="K13" s="134">
        <v>15000</v>
      </c>
      <c r="L13" s="145">
        <v>100</v>
      </c>
      <c r="M13" s="36">
        <f t="shared" ref="M13:M25" si="0">L13/100*E13</f>
        <v>0.2</v>
      </c>
      <c r="N13" s="37"/>
    </row>
    <row r="14" spans="1:14" ht="40.25" customHeight="1" x14ac:dyDescent="0.2">
      <c r="A14" s="27">
        <v>3</v>
      </c>
      <c r="B14" s="157" t="s">
        <v>27</v>
      </c>
      <c r="C14" s="161" t="s">
        <v>66</v>
      </c>
      <c r="D14" s="33" t="s">
        <v>67</v>
      </c>
      <c r="E14" s="17">
        <v>0.05</v>
      </c>
      <c r="F14" s="170">
        <f>SUM(E14:E19)</f>
        <v>0.3</v>
      </c>
      <c r="G14" s="155" t="s">
        <v>28</v>
      </c>
      <c r="H14" s="30" t="s">
        <v>29</v>
      </c>
      <c r="I14" s="18" t="s">
        <v>30</v>
      </c>
      <c r="J14" s="18" t="s">
        <v>31</v>
      </c>
      <c r="K14" s="135" t="s">
        <v>32</v>
      </c>
      <c r="L14" s="146">
        <v>100</v>
      </c>
      <c r="M14" s="13">
        <f t="shared" si="0"/>
        <v>0.05</v>
      </c>
      <c r="N14" s="127" t="s">
        <v>68</v>
      </c>
    </row>
    <row r="15" spans="1:14" ht="52.5" customHeight="1" x14ac:dyDescent="0.2">
      <c r="A15" s="31">
        <v>4</v>
      </c>
      <c r="B15" s="164"/>
      <c r="C15" s="162"/>
      <c r="D15" s="54" t="s">
        <v>69</v>
      </c>
      <c r="E15" s="22">
        <v>0.05</v>
      </c>
      <c r="F15" s="171"/>
      <c r="G15" s="156"/>
      <c r="H15" s="24" t="s">
        <v>36</v>
      </c>
      <c r="I15" s="120" t="s">
        <v>33</v>
      </c>
      <c r="J15" s="120" t="s">
        <v>34</v>
      </c>
      <c r="K15" s="136" t="s">
        <v>42</v>
      </c>
      <c r="L15" s="80">
        <v>0</v>
      </c>
      <c r="M15" s="25">
        <f t="shared" si="0"/>
        <v>0</v>
      </c>
      <c r="N15" s="128" t="s">
        <v>70</v>
      </c>
    </row>
    <row r="16" spans="1:14" ht="53" customHeight="1" x14ac:dyDescent="0.2">
      <c r="A16" s="31">
        <v>5</v>
      </c>
      <c r="B16" s="164"/>
      <c r="C16" s="162"/>
      <c r="D16" s="54" t="s">
        <v>71</v>
      </c>
      <c r="E16" s="22">
        <v>0.05</v>
      </c>
      <c r="F16" s="171"/>
      <c r="G16" s="156"/>
      <c r="H16" s="24" t="s">
        <v>57</v>
      </c>
      <c r="I16" s="120" t="s">
        <v>33</v>
      </c>
      <c r="J16" s="120" t="s">
        <v>34</v>
      </c>
      <c r="K16" s="136" t="s">
        <v>42</v>
      </c>
      <c r="L16" s="80">
        <v>100</v>
      </c>
      <c r="M16" s="25">
        <f t="shared" si="0"/>
        <v>0.05</v>
      </c>
      <c r="N16" s="129" t="s">
        <v>72</v>
      </c>
    </row>
    <row r="17" spans="1:14" ht="40.25" customHeight="1" x14ac:dyDescent="0.2">
      <c r="A17" s="31">
        <v>6</v>
      </c>
      <c r="B17" s="164"/>
      <c r="C17" s="162"/>
      <c r="D17" s="54" t="s">
        <v>73</v>
      </c>
      <c r="E17" s="22">
        <v>0.05</v>
      </c>
      <c r="F17" s="171"/>
      <c r="G17" s="156"/>
      <c r="H17" s="23" t="s">
        <v>74</v>
      </c>
      <c r="I17" s="121">
        <v>6</v>
      </c>
      <c r="J17" s="121">
        <v>7</v>
      </c>
      <c r="K17" s="137">
        <v>8</v>
      </c>
      <c r="L17" s="80">
        <v>80</v>
      </c>
      <c r="M17" s="25">
        <f t="shared" si="0"/>
        <v>4.0000000000000008E-2</v>
      </c>
      <c r="N17" s="129" t="s">
        <v>75</v>
      </c>
    </row>
    <row r="18" spans="1:14" ht="40.25" customHeight="1" x14ac:dyDescent="0.2">
      <c r="A18" s="31">
        <v>7</v>
      </c>
      <c r="B18" s="164"/>
      <c r="C18" s="54" t="s">
        <v>76</v>
      </c>
      <c r="D18" s="38" t="s">
        <v>77</v>
      </c>
      <c r="E18" s="22">
        <v>0.05</v>
      </c>
      <c r="F18" s="171"/>
      <c r="G18" s="156"/>
      <c r="H18" s="24" t="s">
        <v>78</v>
      </c>
      <c r="I18" s="122" t="s">
        <v>37</v>
      </c>
      <c r="J18" s="122" t="s">
        <v>79</v>
      </c>
      <c r="K18" s="138" t="s">
        <v>80</v>
      </c>
      <c r="L18" s="80">
        <v>0</v>
      </c>
      <c r="M18" s="25">
        <f t="shared" si="0"/>
        <v>0</v>
      </c>
      <c r="N18" s="129" t="s">
        <v>81</v>
      </c>
    </row>
    <row r="19" spans="1:14" ht="40.25" customHeight="1" thickBot="1" x14ac:dyDescent="0.25">
      <c r="A19" s="34">
        <v>8</v>
      </c>
      <c r="B19" s="158"/>
      <c r="C19" s="42" t="s">
        <v>82</v>
      </c>
      <c r="D19" s="72" t="s">
        <v>83</v>
      </c>
      <c r="E19" s="39">
        <v>0.05</v>
      </c>
      <c r="F19" s="172"/>
      <c r="G19" s="15" t="s">
        <v>40</v>
      </c>
      <c r="H19" s="74" t="s">
        <v>84</v>
      </c>
      <c r="I19" s="74">
        <v>4</v>
      </c>
      <c r="J19" s="74">
        <v>5</v>
      </c>
      <c r="K19" s="139">
        <v>6</v>
      </c>
      <c r="L19" s="147">
        <v>60</v>
      </c>
      <c r="M19" s="40">
        <f>L19/100*E19</f>
        <v>0.03</v>
      </c>
      <c r="N19" s="130" t="s">
        <v>85</v>
      </c>
    </row>
    <row r="20" spans="1:14" ht="40.25" customHeight="1" x14ac:dyDescent="0.2">
      <c r="A20" s="73">
        <v>9</v>
      </c>
      <c r="B20" s="163" t="s">
        <v>58</v>
      </c>
      <c r="C20" s="166" t="s">
        <v>86</v>
      </c>
      <c r="D20" s="19" t="s">
        <v>87</v>
      </c>
      <c r="E20" s="20">
        <v>0.05</v>
      </c>
      <c r="F20" s="167">
        <f>SUM(E20:E23)</f>
        <v>0.2</v>
      </c>
      <c r="G20" s="75" t="s">
        <v>28</v>
      </c>
      <c r="H20" s="63" t="s">
        <v>88</v>
      </c>
      <c r="I20" s="123" t="s">
        <v>42</v>
      </c>
      <c r="J20" s="123" t="s">
        <v>43</v>
      </c>
      <c r="K20" s="140" t="s">
        <v>44</v>
      </c>
      <c r="L20" s="148">
        <v>0</v>
      </c>
      <c r="M20" s="21">
        <f t="shared" si="0"/>
        <v>0</v>
      </c>
      <c r="N20" s="131"/>
    </row>
    <row r="21" spans="1:14" ht="40.25" customHeight="1" x14ac:dyDescent="0.2">
      <c r="A21" s="31">
        <v>10</v>
      </c>
      <c r="B21" s="164"/>
      <c r="C21" s="162"/>
      <c r="D21" s="54" t="s">
        <v>89</v>
      </c>
      <c r="E21" s="22">
        <v>0.05</v>
      </c>
      <c r="F21" s="168"/>
      <c r="G21" s="70" t="s">
        <v>40</v>
      </c>
      <c r="H21" s="24" t="s">
        <v>90</v>
      </c>
      <c r="I21" s="120">
        <v>2</v>
      </c>
      <c r="J21" s="120">
        <v>3</v>
      </c>
      <c r="K21" s="136">
        <v>4</v>
      </c>
      <c r="L21" s="80">
        <v>0</v>
      </c>
      <c r="M21" s="25">
        <f t="shared" si="0"/>
        <v>0</v>
      </c>
      <c r="N21" s="132"/>
    </row>
    <row r="22" spans="1:14" ht="54.5" customHeight="1" x14ac:dyDescent="0.2">
      <c r="A22" s="31">
        <v>11</v>
      </c>
      <c r="B22" s="164"/>
      <c r="C22" s="162"/>
      <c r="D22" s="38" t="s">
        <v>91</v>
      </c>
      <c r="E22" s="22">
        <v>0.05</v>
      </c>
      <c r="F22" s="168"/>
      <c r="G22" s="68" t="s">
        <v>28</v>
      </c>
      <c r="H22" s="24" t="s">
        <v>92</v>
      </c>
      <c r="I22" s="69" t="s">
        <v>35</v>
      </c>
      <c r="J22" s="69" t="s">
        <v>93</v>
      </c>
      <c r="K22" s="141" t="s">
        <v>94</v>
      </c>
      <c r="L22" s="80">
        <v>100</v>
      </c>
      <c r="M22" s="25">
        <f t="shared" si="0"/>
        <v>0.05</v>
      </c>
      <c r="N22" s="132" t="s">
        <v>95</v>
      </c>
    </row>
    <row r="23" spans="1:14" ht="45" customHeight="1" x14ac:dyDescent="0.2">
      <c r="A23" s="32">
        <v>12</v>
      </c>
      <c r="B23" s="165"/>
      <c r="C23" s="55" t="s">
        <v>96</v>
      </c>
      <c r="D23" s="41" t="s">
        <v>97</v>
      </c>
      <c r="E23" s="76">
        <v>0.05</v>
      </c>
      <c r="F23" s="169"/>
      <c r="G23" s="57" t="s">
        <v>62</v>
      </c>
      <c r="H23" s="56" t="s">
        <v>98</v>
      </c>
      <c r="I23" s="124">
        <v>0.9</v>
      </c>
      <c r="J23" s="124">
        <v>0.95</v>
      </c>
      <c r="K23" s="142">
        <v>1</v>
      </c>
      <c r="L23" s="149">
        <v>0</v>
      </c>
      <c r="M23" s="36">
        <f t="shared" si="0"/>
        <v>0</v>
      </c>
      <c r="N23" s="133" t="s">
        <v>99</v>
      </c>
    </row>
    <row r="24" spans="1:14" ht="45.5" customHeight="1" x14ac:dyDescent="0.2">
      <c r="A24" s="12">
        <v>13</v>
      </c>
      <c r="B24" s="157" t="s">
        <v>38</v>
      </c>
      <c r="C24" s="28" t="s">
        <v>39</v>
      </c>
      <c r="D24" s="16" t="s">
        <v>100</v>
      </c>
      <c r="E24" s="17">
        <v>0.05</v>
      </c>
      <c r="F24" s="159">
        <f>SUM(E24:E25)</f>
        <v>0.1</v>
      </c>
      <c r="G24" s="29" t="s">
        <v>40</v>
      </c>
      <c r="H24" s="18" t="s">
        <v>41</v>
      </c>
      <c r="I24" s="125">
        <v>5</v>
      </c>
      <c r="J24" s="125">
        <v>4</v>
      </c>
      <c r="K24" s="143">
        <v>3</v>
      </c>
      <c r="L24" s="146">
        <v>80</v>
      </c>
      <c r="M24" s="13">
        <f t="shared" si="0"/>
        <v>4.0000000000000008E-2</v>
      </c>
      <c r="N24" s="127"/>
    </row>
    <row r="25" spans="1:14" ht="50.75" customHeight="1" thickBot="1" x14ac:dyDescent="0.25">
      <c r="A25" s="34">
        <v>14</v>
      </c>
      <c r="B25" s="158"/>
      <c r="C25" s="26" t="s">
        <v>59</v>
      </c>
      <c r="D25" s="26" t="s">
        <v>60</v>
      </c>
      <c r="E25" s="39">
        <v>0.05</v>
      </c>
      <c r="F25" s="160"/>
      <c r="G25" s="58" t="s">
        <v>28</v>
      </c>
      <c r="H25" s="59" t="s">
        <v>61</v>
      </c>
      <c r="I25" s="126">
        <v>8000</v>
      </c>
      <c r="J25" s="126">
        <v>10000</v>
      </c>
      <c r="K25" s="144">
        <v>12000</v>
      </c>
      <c r="L25" s="150">
        <v>100</v>
      </c>
      <c r="M25" s="40">
        <f t="shared" si="0"/>
        <v>0.05</v>
      </c>
      <c r="N25" s="119">
        <v>14723</v>
      </c>
    </row>
    <row r="26" spans="1:14" s="62" customFormat="1" ht="17" thickBot="1" x14ac:dyDescent="0.25">
      <c r="A26" s="47"/>
      <c r="B26" s="47"/>
      <c r="C26" s="60"/>
      <c r="E26" s="93"/>
      <c r="F26" s="93"/>
      <c r="G26" s="93"/>
      <c r="H26" s="47"/>
      <c r="I26" s="47"/>
      <c r="J26" s="47"/>
      <c r="K26" s="47"/>
    </row>
    <row r="27" spans="1:14" s="62" customFormat="1" ht="17" thickBot="1" x14ac:dyDescent="0.25">
      <c r="A27" s="47"/>
      <c r="B27" s="47"/>
      <c r="C27" s="60"/>
      <c r="E27" s="93"/>
      <c r="F27" s="94">
        <f>SUM(F12:F25)</f>
        <v>0.99999999999999989</v>
      </c>
      <c r="G27" s="95"/>
      <c r="H27" s="47"/>
      <c r="I27" s="47"/>
      <c r="J27" s="47"/>
      <c r="K27" s="47"/>
      <c r="L27" s="46"/>
      <c r="M27" s="94">
        <f>SUM(M12:M25)</f>
        <v>0.67000000000000015</v>
      </c>
      <c r="N27" s="96"/>
    </row>
    <row r="28" spans="1:14" s="62" customFormat="1" ht="25.25" customHeight="1" thickBot="1" x14ac:dyDescent="0.25">
      <c r="A28" s="47"/>
      <c r="B28" s="47"/>
      <c r="C28" s="60"/>
      <c r="E28" s="93"/>
      <c r="F28" s="95"/>
      <c r="G28" s="95"/>
      <c r="H28" s="47"/>
      <c r="I28" s="47"/>
      <c r="J28" s="47"/>
      <c r="K28" s="47"/>
      <c r="M28" s="47"/>
      <c r="N28" s="61"/>
    </row>
    <row r="29" spans="1:14" s="62" customFormat="1" ht="25.25" customHeight="1" x14ac:dyDescent="0.2">
      <c r="A29" s="97" t="s">
        <v>45</v>
      </c>
      <c r="B29" s="47"/>
      <c r="C29" s="98"/>
      <c r="D29" s="99"/>
      <c r="F29" s="97" t="s">
        <v>46</v>
      </c>
      <c r="G29" s="100"/>
      <c r="H29" s="47"/>
      <c r="I29" s="47"/>
      <c r="J29" s="47"/>
      <c r="K29" s="101" t="s">
        <v>47</v>
      </c>
      <c r="L29" s="83"/>
      <c r="M29" s="102"/>
      <c r="N29" s="84"/>
    </row>
    <row r="30" spans="1:14" s="62" customFormat="1" ht="25.25" customHeight="1" x14ac:dyDescent="0.2">
      <c r="A30" s="97" t="s">
        <v>48</v>
      </c>
      <c r="B30" s="47"/>
      <c r="C30" s="98"/>
      <c r="D30" s="99"/>
      <c r="F30" s="97" t="s">
        <v>48</v>
      </c>
      <c r="G30" s="100"/>
      <c r="H30" s="103"/>
      <c r="I30" s="103"/>
      <c r="J30" s="103"/>
      <c r="K30" s="104" t="s">
        <v>49</v>
      </c>
      <c r="L30" s="62">
        <v>100</v>
      </c>
      <c r="M30" s="105">
        <f>M27</f>
        <v>0.67000000000000015</v>
      </c>
      <c r="N30" s="106">
        <f>M30/L30*80</f>
        <v>0.53600000000000003</v>
      </c>
    </row>
    <row r="31" spans="1:14" s="62" customFormat="1" ht="25.25" customHeight="1" x14ac:dyDescent="0.2">
      <c r="A31" s="97" t="s">
        <v>50</v>
      </c>
      <c r="B31" s="47"/>
      <c r="C31" s="98"/>
      <c r="D31" s="99"/>
      <c r="F31" s="97" t="s">
        <v>51</v>
      </c>
      <c r="G31" s="100"/>
      <c r="H31" s="103"/>
      <c r="I31" s="103"/>
      <c r="J31" s="103"/>
      <c r="K31" s="107" t="s">
        <v>52</v>
      </c>
      <c r="L31" s="62">
        <v>150</v>
      </c>
      <c r="M31" s="108">
        <v>0.9</v>
      </c>
      <c r="N31" s="109">
        <f>M31/L31*20</f>
        <v>0.12</v>
      </c>
    </row>
    <row r="32" spans="1:14" s="62" customFormat="1" ht="25.25" customHeight="1" thickBot="1" x14ac:dyDescent="0.25">
      <c r="A32" s="97"/>
      <c r="B32" s="47"/>
      <c r="C32" s="98"/>
      <c r="F32" s="97" t="s">
        <v>53</v>
      </c>
      <c r="G32" s="100"/>
      <c r="H32" s="103"/>
      <c r="I32" s="103"/>
      <c r="J32" s="103"/>
      <c r="K32" s="118" t="s">
        <v>54</v>
      </c>
      <c r="L32" s="110"/>
      <c r="M32" s="111"/>
      <c r="N32" s="81">
        <f>SUM(N30:N31)</f>
        <v>0.65600000000000003</v>
      </c>
    </row>
    <row r="33" spans="1:13" s="62" customFormat="1" ht="25.25" customHeight="1" x14ac:dyDescent="0.2">
      <c r="B33" s="100"/>
      <c r="C33" s="60"/>
      <c r="E33" s="112"/>
      <c r="F33" s="97" t="s">
        <v>50</v>
      </c>
      <c r="G33" s="100"/>
      <c r="H33" s="103"/>
      <c r="I33" s="103"/>
      <c r="J33" s="113"/>
      <c r="K33" s="113"/>
      <c r="L33" s="114"/>
    </row>
    <row r="34" spans="1:13" s="62" customFormat="1" ht="25.25" customHeight="1" x14ac:dyDescent="0.2">
      <c r="B34" s="47"/>
      <c r="C34" s="60"/>
      <c r="E34" s="112"/>
      <c r="F34" s="115"/>
      <c r="G34" s="115"/>
      <c r="H34" s="103"/>
      <c r="I34" s="103"/>
      <c r="J34" s="113"/>
      <c r="K34" s="113"/>
      <c r="L34" s="116"/>
      <c r="M34" s="117"/>
    </row>
    <row r="35" spans="1:13" s="62" customFormat="1" ht="15" customHeight="1" x14ac:dyDescent="0.2">
      <c r="B35" s="47"/>
      <c r="C35" s="60"/>
      <c r="E35" s="112"/>
      <c r="F35" s="115"/>
      <c r="G35" s="115"/>
      <c r="H35" s="103"/>
      <c r="I35" s="103"/>
      <c r="J35" s="113"/>
      <c r="K35" s="113"/>
      <c r="L35" s="116"/>
      <c r="M35" s="117"/>
    </row>
    <row r="36" spans="1:13" s="62" customFormat="1" x14ac:dyDescent="0.2">
      <c r="A36" s="47"/>
      <c r="B36" s="47"/>
      <c r="C36" s="60"/>
      <c r="E36" s="47"/>
      <c r="F36" s="47"/>
      <c r="G36" s="47"/>
      <c r="H36" s="47"/>
      <c r="I36" s="47"/>
      <c r="J36" s="47"/>
      <c r="K36" s="47"/>
    </row>
    <row r="37" spans="1:13" s="62" customFormat="1" x14ac:dyDescent="0.2">
      <c r="A37" s="47"/>
      <c r="B37" s="47"/>
      <c r="C37" s="60"/>
      <c r="E37" s="47"/>
      <c r="F37" s="47"/>
      <c r="G37" s="47"/>
      <c r="H37" s="47"/>
      <c r="I37" s="47"/>
      <c r="J37" s="47"/>
      <c r="K37" s="47"/>
    </row>
    <row r="38" spans="1:13" s="62" customFormat="1" x14ac:dyDescent="0.2">
      <c r="A38" s="47"/>
      <c r="B38" s="47"/>
      <c r="C38" s="60"/>
      <c r="E38" s="60"/>
      <c r="F38" s="47"/>
      <c r="G38" s="47"/>
      <c r="H38" s="47"/>
      <c r="I38" s="47"/>
      <c r="J38" s="47"/>
      <c r="K38" s="47"/>
    </row>
    <row r="39" spans="1:13" s="62" customFormat="1" x14ac:dyDescent="0.2">
      <c r="A39" s="47"/>
      <c r="B39" s="47"/>
      <c r="C39" s="60"/>
      <c r="E39" s="47"/>
      <c r="F39" s="47"/>
      <c r="G39" s="47"/>
      <c r="H39" s="47"/>
      <c r="I39" s="47"/>
      <c r="J39" s="47"/>
      <c r="K39" s="47"/>
    </row>
  </sheetData>
  <mergeCells count="29">
    <mergeCell ref="B8:D8"/>
    <mergeCell ref="H8:K8"/>
    <mergeCell ref="I1:K2"/>
    <mergeCell ref="L1:N1"/>
    <mergeCell ref="B6:D6"/>
    <mergeCell ref="E6:F6"/>
    <mergeCell ref="H6:K6"/>
    <mergeCell ref="A10:A11"/>
    <mergeCell ref="B10:B11"/>
    <mergeCell ref="C10:C11"/>
    <mergeCell ref="D10:D11"/>
    <mergeCell ref="E10:E11"/>
    <mergeCell ref="H10:H11"/>
    <mergeCell ref="I10:K10"/>
    <mergeCell ref="L10:M10"/>
    <mergeCell ref="N10:N11"/>
    <mergeCell ref="B12:B13"/>
    <mergeCell ref="C12:C13"/>
    <mergeCell ref="F12:F13"/>
    <mergeCell ref="F10:F11"/>
    <mergeCell ref="G14:G18"/>
    <mergeCell ref="B24:B25"/>
    <mergeCell ref="F24:F25"/>
    <mergeCell ref="C14:C17"/>
    <mergeCell ref="B20:B23"/>
    <mergeCell ref="C20:C22"/>
    <mergeCell ref="F20:F23"/>
    <mergeCell ref="B14:B19"/>
    <mergeCell ref="F14:F19"/>
  </mergeCells>
  <pageMargins left="0" right="0" top="0" bottom="0" header="0" footer="0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7C33-30A8-482C-8890-A89F33900E6C}">
  <dimension ref="A2:C29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4" style="151" customWidth="1"/>
    <col min="2" max="2" width="88.6640625" bestFit="1" customWidth="1"/>
    <col min="3" max="3" width="20.5" customWidth="1"/>
  </cols>
  <sheetData>
    <row r="2" spans="1:3" x14ac:dyDescent="0.2">
      <c r="A2" s="152" t="s">
        <v>109</v>
      </c>
    </row>
    <row r="3" spans="1:3" x14ac:dyDescent="0.2">
      <c r="A3" s="152"/>
    </row>
    <row r="4" spans="1:3" x14ac:dyDescent="0.2">
      <c r="A4" s="152"/>
      <c r="B4" s="154" t="s">
        <v>121</v>
      </c>
      <c r="C4" s="154"/>
    </row>
    <row r="5" spans="1:3" x14ac:dyDescent="0.2">
      <c r="A5" s="151">
        <v>1</v>
      </c>
      <c r="B5" t="s">
        <v>102</v>
      </c>
    </row>
    <row r="6" spans="1:3" x14ac:dyDescent="0.2">
      <c r="A6" s="151">
        <v>2</v>
      </c>
      <c r="B6" t="s">
        <v>104</v>
      </c>
    </row>
    <row r="7" spans="1:3" x14ac:dyDescent="0.2">
      <c r="A7" s="151">
        <v>3</v>
      </c>
      <c r="B7" t="s">
        <v>103</v>
      </c>
    </row>
    <row r="8" spans="1:3" x14ac:dyDescent="0.2">
      <c r="A8" s="151">
        <v>4</v>
      </c>
      <c r="B8" t="s">
        <v>105</v>
      </c>
    </row>
    <row r="9" spans="1:3" x14ac:dyDescent="0.2">
      <c r="A9" s="151">
        <v>5</v>
      </c>
      <c r="B9" t="s">
        <v>106</v>
      </c>
    </row>
    <row r="10" spans="1:3" x14ac:dyDescent="0.2">
      <c r="A10" s="151">
        <v>6</v>
      </c>
      <c r="B10" t="s">
        <v>107</v>
      </c>
    </row>
    <row r="11" spans="1:3" x14ac:dyDescent="0.2">
      <c r="A11" s="151">
        <v>7</v>
      </c>
      <c r="B11" t="s">
        <v>108</v>
      </c>
    </row>
    <row r="12" spans="1:3" x14ac:dyDescent="0.2">
      <c r="A12" s="151">
        <v>8</v>
      </c>
      <c r="B12" t="s">
        <v>110</v>
      </c>
    </row>
    <row r="13" spans="1:3" x14ac:dyDescent="0.2">
      <c r="B13" s="153" t="s">
        <v>113</v>
      </c>
    </row>
    <row r="14" spans="1:3" x14ac:dyDescent="0.2">
      <c r="B14" s="153" t="s">
        <v>114</v>
      </c>
    </row>
    <row r="15" spans="1:3" x14ac:dyDescent="0.2">
      <c r="B15" s="153" t="s">
        <v>111</v>
      </c>
    </row>
    <row r="16" spans="1:3" x14ac:dyDescent="0.2">
      <c r="B16" s="153" t="s">
        <v>112</v>
      </c>
    </row>
    <row r="17" spans="1:2" x14ac:dyDescent="0.2">
      <c r="B17" s="153" t="s">
        <v>115</v>
      </c>
    </row>
    <row r="18" spans="1:2" x14ac:dyDescent="0.2">
      <c r="B18" s="153" t="s">
        <v>116</v>
      </c>
    </row>
    <row r="19" spans="1:2" x14ac:dyDescent="0.2">
      <c r="A19" s="151">
        <v>9</v>
      </c>
      <c r="B19" t="s">
        <v>117</v>
      </c>
    </row>
    <row r="20" spans="1:2" x14ac:dyDescent="0.2">
      <c r="B20" s="153" t="s">
        <v>118</v>
      </c>
    </row>
    <row r="21" spans="1:2" x14ac:dyDescent="0.2">
      <c r="A21" s="151">
        <v>10</v>
      </c>
      <c r="B21" t="s">
        <v>119</v>
      </c>
    </row>
    <row r="29" spans="1:2" x14ac:dyDescent="0.2">
      <c r="A29" s="151">
        <v>11</v>
      </c>
      <c r="B29" t="s">
        <v>120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3337-5FDA-F642-9EAA-0B3EF8F7CD2B}">
  <dimension ref="B4:B9"/>
  <sheetViews>
    <sheetView tabSelected="1" workbookViewId="0">
      <selection activeCell="B4" sqref="B4:B9"/>
    </sheetView>
  </sheetViews>
  <sheetFormatPr baseColWidth="10" defaultRowHeight="15" x14ac:dyDescent="0.2"/>
  <sheetData>
    <row r="4" spans="2:2" x14ac:dyDescent="0.2">
      <c r="B4" s="204" t="s">
        <v>122</v>
      </c>
    </row>
    <row r="5" spans="2:2" x14ac:dyDescent="0.2">
      <c r="B5" s="204" t="s">
        <v>123</v>
      </c>
    </row>
    <row r="6" spans="2:2" x14ac:dyDescent="0.2">
      <c r="B6" s="204" t="s">
        <v>124</v>
      </c>
    </row>
    <row r="7" spans="2:2" x14ac:dyDescent="0.2">
      <c r="B7" s="204" t="s">
        <v>125</v>
      </c>
    </row>
    <row r="9" spans="2:2" x14ac:dyDescent="0.2">
      <c r="B9" s="20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KPI1</vt:lpstr>
      <vt:lpstr>Proses PMS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Nurul Faiza Binti Md Rause</dc:creator>
  <cp:keywords/>
  <dc:description/>
  <cp:lastModifiedBy>MUHAMMAD SYAHMI SADAN</cp:lastModifiedBy>
  <cp:revision/>
  <dcterms:created xsi:type="dcterms:W3CDTF">2024-12-26T09:36:20Z</dcterms:created>
  <dcterms:modified xsi:type="dcterms:W3CDTF">2026-03-13T14:04:07Z</dcterms:modified>
  <cp:category/>
  <cp:contentStatus/>
</cp:coreProperties>
</file>